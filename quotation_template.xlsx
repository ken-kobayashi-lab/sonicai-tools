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kenseikobayashi/Downloads/"/>
    </mc:Choice>
  </mc:AlternateContent>
  <xr:revisionPtr revIDLastSave="0" documentId="13_ncr:1_{3B32159D-B2C8-034C-9545-8C93825F18DB}" xr6:coauthVersionLast="47" xr6:coauthVersionMax="47" xr10:uidLastSave="{00000000-0000-0000-0000-000000000000}"/>
  <bookViews>
    <workbookView xWindow="0" yWindow="660" windowWidth="29400" windowHeight="16940" xr2:uid="{00000000-000D-0000-FFFF-FFFF00000000}"/>
  </bookViews>
  <sheets>
    <sheet name="見積書" sheetId="1" r:id="rId1"/>
    <sheet name="発注書" sheetId="2" r:id="rId2"/>
    <sheet name="発注書 のコピー"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8" i="3" l="1"/>
  <c r="I20" i="3"/>
  <c r="I19" i="3"/>
  <c r="I28" i="2"/>
  <c r="I20" i="2"/>
  <c r="I19" i="2"/>
  <c r="I28" i="1"/>
  <c r="I20" i="1"/>
  <c r="I19" i="1"/>
  <c r="I1" i="1"/>
  <c r="I29" i="3" l="1"/>
  <c r="I30" i="3" s="1"/>
  <c r="C15" i="3"/>
  <c r="I30" i="2"/>
  <c r="I29" i="2"/>
  <c r="C15" i="2"/>
  <c r="I29" i="1"/>
  <c r="I30" i="1" s="1"/>
  <c r="C15" i="1"/>
</calcChain>
</file>

<file path=xl/sharedStrings.xml><?xml version="1.0" encoding="utf-8"?>
<sst xmlns="http://schemas.openxmlformats.org/spreadsheetml/2006/main" count="96" uniqueCount="41">
  <si>
    <t>発行日：</t>
  </si>
  <si>
    <t>見積もり番号：</t>
  </si>
  <si>
    <t>AA1100000</t>
  </si>
  <si>
    <t>御  見  積  書</t>
  </si>
  <si>
    <t>御中</t>
  </si>
  <si>
    <t>下記の通り、御見積もり申し上げます。</t>
  </si>
  <si>
    <t>株式会社SonicAI</t>
  </si>
  <si>
    <t>件名：</t>
  </si>
  <si>
    <t>画像処理検査機SonicAI one</t>
  </si>
  <si>
    <t>〒108-0073</t>
  </si>
  <si>
    <t>納期：</t>
  </si>
  <si>
    <t>2026年1月末日予定</t>
  </si>
  <si>
    <t>東京都港区三田3-5-27</t>
  </si>
  <si>
    <t>支払い条件：</t>
  </si>
  <si>
    <t>納品後、末締め翌月末支払い（振込）</t>
  </si>
  <si>
    <t>住友不動産東京三田サウスタワー 10F</t>
  </si>
  <si>
    <t>有効期限：</t>
  </si>
  <si>
    <t>TEL：080-8044-3236</t>
  </si>
  <si>
    <t>担当：小林賢正</t>
  </si>
  <si>
    <t>合計金額</t>
  </si>
  <si>
    <t>(税抜)</t>
  </si>
  <si>
    <t>品名</t>
  </si>
  <si>
    <t>数量（単位）</t>
  </si>
  <si>
    <t>単価</t>
  </si>
  <si>
    <t>金額</t>
  </si>
  <si>
    <t>SonicAI one</t>
  </si>
  <si>
    <t>式</t>
  </si>
  <si>
    <t>PoC特別値引き</t>
  </si>
  <si>
    <t>個</t>
  </si>
  <si>
    <t>小計</t>
  </si>
  <si>
    <t>消費税</t>
  </si>
  <si>
    <t>合計</t>
  </si>
  <si>
    <t>備  考</t>
  </si>
  <si>
    <t>納品方法： 弊社指定の配送業者による配送（軒先渡し）となります。
送料：本見積に含みます。
検収条件：製品の納入をもって検収完了（所有権移転）とさせていただきます。
返品・キャンセル： 受注生産品のため、ご発注後のキャンセル・返品はお受けできません。
製品保証に関して：
①無償保証期間： 納品日より2年間とします。
　保証範囲（通常運用）:
　通常の運用によって故障した場合に限り、無償で修理または交換いたします。
　対応方法：対象部品の送付もしくは技術スタッフの派遣により交換
　保証の適用除外（有償対応）:
　以下の場合は、保証期間内であっても有償対応となります。
　・お客様の故意・過失による破損、落下、水没、改造、分解など。
　・火災、地震、落雷などの天災地変による故障。
　・経年劣化する消耗部品（バッテリー、フィルター等）の交換。
　・指定外の電源電圧や使用環境（高温・多湿等）での使用による故障。
製品の変更:
修理が困難な場合、同等機能を持つ代替品への交換とさせていただく場合がございます。
その他：電源タップ等の配線部材、およびPC等の周辺機器は本見積に含まれません。
　　　　今回のみPoC特別値引きを適応します。</t>
  </si>
  <si>
    <t>発注日：</t>
  </si>
  <si>
    <t>発  注  書</t>
  </si>
  <si>
    <t>下記の見積もりの通り、発注いたします。</t>
  </si>
  <si>
    <t>会社名：</t>
  </si>
  <si>
    <t>印</t>
  </si>
  <si>
    <t>住所：</t>
  </si>
  <si>
    <r>
      <rPr>
        <sz val="8"/>
        <color theme="1"/>
        <rFont val="MS Gothic"/>
        <family val="2"/>
        <charset val="128"/>
      </rPr>
      <t>納品方法：</t>
    </r>
    <r>
      <rPr>
        <sz val="8"/>
        <color theme="1"/>
        <rFont val="Arial"/>
        <family val="2"/>
        <scheme val="minor"/>
      </rPr>
      <t xml:space="preserve"> </t>
    </r>
    <r>
      <rPr>
        <sz val="8"/>
        <color theme="1"/>
        <rFont val="MS Gothic"/>
        <family val="2"/>
        <charset val="128"/>
      </rPr>
      <t>弊社指定の配送業者による配送（軒先渡し）となります。</t>
    </r>
    <r>
      <rPr>
        <sz val="8"/>
        <color theme="1"/>
        <rFont val="Arial"/>
        <family val="2"/>
        <scheme val="minor"/>
      </rPr>
      <t xml:space="preserve">
</t>
    </r>
    <r>
      <rPr>
        <sz val="8"/>
        <color theme="1"/>
        <rFont val="MS Gothic"/>
        <family val="2"/>
        <charset val="128"/>
      </rPr>
      <t>送料：本見積に含みます。</t>
    </r>
    <r>
      <rPr>
        <sz val="8"/>
        <color theme="1"/>
        <rFont val="Arial"/>
        <family val="2"/>
        <scheme val="minor"/>
      </rPr>
      <t xml:space="preserve">
</t>
    </r>
    <r>
      <rPr>
        <sz val="8"/>
        <color theme="1"/>
        <rFont val="MS Gothic"/>
        <family val="2"/>
        <charset val="128"/>
      </rPr>
      <t>検収条件：製品の納入をもって検収完了（所有権移転）とさせていただきます。</t>
    </r>
    <r>
      <rPr>
        <sz val="8"/>
        <color theme="1"/>
        <rFont val="Arial"/>
        <family val="2"/>
        <scheme val="minor"/>
      </rPr>
      <t xml:space="preserve">
</t>
    </r>
    <r>
      <rPr>
        <sz val="8"/>
        <color theme="1"/>
        <rFont val="MS Gothic"/>
        <family val="2"/>
        <charset val="128"/>
      </rPr>
      <t>返品・キャンセル：</t>
    </r>
    <r>
      <rPr>
        <sz val="8"/>
        <color theme="1"/>
        <rFont val="Arial"/>
        <family val="2"/>
        <scheme val="minor"/>
      </rPr>
      <t xml:space="preserve"> </t>
    </r>
    <r>
      <rPr>
        <sz val="8"/>
        <color theme="1"/>
        <rFont val="MS Gothic"/>
        <family val="2"/>
        <charset val="128"/>
      </rPr>
      <t>受注生産品のため、ご発注後のキャンセル・返品はお受けできません。</t>
    </r>
    <r>
      <rPr>
        <sz val="8"/>
        <color theme="1"/>
        <rFont val="Arial"/>
        <family val="2"/>
        <scheme val="minor"/>
      </rPr>
      <t xml:space="preserve">
</t>
    </r>
    <r>
      <rPr>
        <sz val="8"/>
        <color theme="1"/>
        <rFont val="MS Gothic"/>
        <family val="2"/>
        <charset val="128"/>
      </rPr>
      <t>製品保証に関して：</t>
    </r>
    <r>
      <rPr>
        <sz val="8"/>
        <color theme="1"/>
        <rFont val="Arial"/>
        <family val="2"/>
        <scheme val="minor"/>
      </rPr>
      <t xml:space="preserve">
</t>
    </r>
    <r>
      <rPr>
        <sz val="8"/>
        <color theme="1"/>
        <rFont val="Cambria Math"/>
        <family val="2"/>
      </rPr>
      <t>①</t>
    </r>
    <r>
      <rPr>
        <sz val="8"/>
        <color theme="1"/>
        <rFont val="MS Gothic"/>
        <family val="2"/>
        <charset val="128"/>
      </rPr>
      <t>無償保証期間：</t>
    </r>
    <r>
      <rPr>
        <sz val="8"/>
        <color theme="1"/>
        <rFont val="Arial"/>
        <family val="2"/>
        <scheme val="minor"/>
      </rPr>
      <t xml:space="preserve"> </t>
    </r>
    <r>
      <rPr>
        <sz val="8"/>
        <color theme="1"/>
        <rFont val="MS Gothic"/>
        <family val="2"/>
        <charset val="128"/>
      </rPr>
      <t>納品日より</t>
    </r>
    <r>
      <rPr>
        <sz val="8"/>
        <color theme="1"/>
        <rFont val="Arial"/>
        <family val="2"/>
        <scheme val="minor"/>
      </rPr>
      <t>2</t>
    </r>
    <r>
      <rPr>
        <sz val="8"/>
        <color theme="1"/>
        <rFont val="MS Gothic"/>
        <family val="2"/>
        <charset val="128"/>
      </rPr>
      <t>年間とします。</t>
    </r>
    <r>
      <rPr>
        <sz val="8"/>
        <color theme="1"/>
        <rFont val="Arial"/>
        <family val="2"/>
        <scheme val="minor"/>
      </rPr>
      <t xml:space="preserve">
</t>
    </r>
    <r>
      <rPr>
        <sz val="8"/>
        <color theme="1"/>
        <rFont val="MS Gothic"/>
        <family val="2"/>
        <charset val="128"/>
      </rPr>
      <t>　保証範囲（通常運用）</t>
    </r>
    <r>
      <rPr>
        <sz val="8"/>
        <color theme="1"/>
        <rFont val="Arial"/>
        <family val="2"/>
        <scheme val="minor"/>
      </rPr>
      <t xml:space="preserve">:
</t>
    </r>
    <r>
      <rPr>
        <sz val="8"/>
        <color theme="1"/>
        <rFont val="MS Gothic"/>
        <family val="2"/>
        <charset val="128"/>
      </rPr>
      <t>　通常の運用によって故障した場合に限り、無償で修理または交換いたします。</t>
    </r>
    <r>
      <rPr>
        <sz val="8"/>
        <color theme="1"/>
        <rFont val="Arial"/>
        <family val="2"/>
        <scheme val="minor"/>
      </rPr>
      <t xml:space="preserve">
</t>
    </r>
    <r>
      <rPr>
        <sz val="8"/>
        <color theme="1"/>
        <rFont val="MS Gothic"/>
        <family val="2"/>
        <charset val="128"/>
      </rPr>
      <t>　対応方法：対象部品の送付もしくは技術スタッフの派遣により交換</t>
    </r>
    <r>
      <rPr>
        <sz val="8"/>
        <color theme="1"/>
        <rFont val="Arial"/>
        <family val="2"/>
        <scheme val="minor"/>
      </rPr>
      <t xml:space="preserve">
</t>
    </r>
    <r>
      <rPr>
        <sz val="8"/>
        <color theme="1"/>
        <rFont val="MS Gothic"/>
        <family val="2"/>
        <charset val="128"/>
      </rPr>
      <t>　保証の適用除外（有償対応）</t>
    </r>
    <r>
      <rPr>
        <sz val="8"/>
        <color theme="1"/>
        <rFont val="Arial"/>
        <family val="2"/>
        <scheme val="minor"/>
      </rPr>
      <t xml:space="preserve">:
</t>
    </r>
    <r>
      <rPr>
        <sz val="8"/>
        <color theme="1"/>
        <rFont val="MS Gothic"/>
        <family val="2"/>
        <charset val="128"/>
      </rPr>
      <t>　以下の場合は、保証期間内であっても有償対応となります。</t>
    </r>
    <r>
      <rPr>
        <sz val="8"/>
        <color theme="1"/>
        <rFont val="Arial"/>
        <family val="2"/>
        <scheme val="minor"/>
      </rPr>
      <t xml:space="preserve">
</t>
    </r>
    <r>
      <rPr>
        <sz val="8"/>
        <color theme="1"/>
        <rFont val="MS Gothic"/>
        <family val="2"/>
        <charset val="128"/>
      </rPr>
      <t>　・お客様の故意・過失による破損、落下、水没、改造、分解など。</t>
    </r>
    <r>
      <rPr>
        <sz val="8"/>
        <color theme="1"/>
        <rFont val="Arial"/>
        <family val="2"/>
        <scheme val="minor"/>
      </rPr>
      <t xml:space="preserve">
</t>
    </r>
    <r>
      <rPr>
        <sz val="8"/>
        <color theme="1"/>
        <rFont val="MS Gothic"/>
        <family val="2"/>
        <charset val="128"/>
      </rPr>
      <t>　・火災、地震、落雷などの天災地変による故障。</t>
    </r>
    <r>
      <rPr>
        <sz val="8"/>
        <color theme="1"/>
        <rFont val="Arial"/>
        <family val="2"/>
        <scheme val="minor"/>
      </rPr>
      <t xml:space="preserve">
</t>
    </r>
    <r>
      <rPr>
        <sz val="8"/>
        <color theme="1"/>
        <rFont val="MS Gothic"/>
        <family val="2"/>
        <charset val="128"/>
      </rPr>
      <t>　・経年劣化する消耗部品（バッテリー、フィルター等）の交換。</t>
    </r>
    <r>
      <rPr>
        <sz val="8"/>
        <color theme="1"/>
        <rFont val="Arial"/>
        <family val="2"/>
        <scheme val="minor"/>
      </rPr>
      <t xml:space="preserve">
</t>
    </r>
    <r>
      <rPr>
        <sz val="8"/>
        <color theme="1"/>
        <rFont val="MS Gothic"/>
        <family val="2"/>
        <charset val="128"/>
      </rPr>
      <t>　・指定外の電源電圧や使用環境（高温・多湿等）での使用による故障。</t>
    </r>
    <r>
      <rPr>
        <sz val="8"/>
        <color theme="1"/>
        <rFont val="Arial"/>
        <family val="2"/>
        <scheme val="minor"/>
      </rPr>
      <t xml:space="preserve">
</t>
    </r>
    <r>
      <rPr>
        <sz val="8"/>
        <color theme="1"/>
        <rFont val="MS Gothic"/>
        <family val="2"/>
        <charset val="128"/>
      </rPr>
      <t>製品の変更</t>
    </r>
    <r>
      <rPr>
        <sz val="8"/>
        <color theme="1"/>
        <rFont val="Arial"/>
        <family val="2"/>
        <scheme val="minor"/>
      </rPr>
      <t xml:space="preserve">:
</t>
    </r>
    <r>
      <rPr>
        <sz val="8"/>
        <color theme="1"/>
        <rFont val="MS Gothic"/>
        <family val="2"/>
        <charset val="128"/>
      </rPr>
      <t>修理が困難な場合、同等機能を持つ代替品への交換とさせていただく場合がございます。</t>
    </r>
    <r>
      <rPr>
        <sz val="8"/>
        <color theme="1"/>
        <rFont val="Arial"/>
        <family val="2"/>
        <scheme val="minor"/>
      </rPr>
      <t xml:space="preserve">
</t>
    </r>
    <r>
      <rPr>
        <sz val="8"/>
        <color theme="1"/>
        <rFont val="MS Gothic"/>
        <family val="2"/>
        <charset val="128"/>
      </rPr>
      <t>その他：電源タップ等の配線部材、および</t>
    </r>
    <r>
      <rPr>
        <sz val="8"/>
        <color theme="1"/>
        <rFont val="Arial"/>
        <family val="2"/>
        <scheme val="minor"/>
      </rPr>
      <t>PC</t>
    </r>
    <r>
      <rPr>
        <sz val="8"/>
        <color theme="1"/>
        <rFont val="MS Gothic"/>
        <family val="2"/>
        <charset val="128"/>
      </rPr>
      <t>等の周辺機器は本見積に含まれません。</t>
    </r>
    <r>
      <rPr>
        <sz val="8"/>
        <color theme="1"/>
        <rFont val="Arial"/>
        <family val="2"/>
        <scheme val="minor"/>
      </rPr>
      <t xml:space="preserve">
</t>
    </r>
    <r>
      <rPr>
        <sz val="8"/>
        <color theme="1"/>
        <rFont val="MS Gothic"/>
        <family val="2"/>
        <charset val="128"/>
      </rPr>
      <t>　　　　今回のみ</t>
    </r>
    <r>
      <rPr>
        <sz val="8"/>
        <color theme="1"/>
        <rFont val="Arial"/>
        <family val="2"/>
        <scheme val="minor"/>
      </rPr>
      <t>PoC</t>
    </r>
    <r>
      <rPr>
        <sz val="8"/>
        <color theme="1"/>
        <rFont val="MS Gothic"/>
        <family val="2"/>
        <charset val="128"/>
      </rPr>
      <t>特別値引きを適応します。</t>
    </r>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</si>
</sst>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0"/>
  </numFmts>
  <fonts count="18" x14ac:knownFonts="1">
    <font>
      <sz val="10"/>
      <color rgb="FF000000"/>
      <name val="Arial"/>
      <scheme val="minor"/>
    </font>
    <font>
      <sz val="11"/>
      <color theme="1"/>
      <name val="Arial"/>
      <family val="2"/>
      <scheme val="minor"/>
    </font>
    <font>
      <sz val="28"/>
      <color theme="1"/>
      <name val="Arial"/>
      <family val="2"/>
      <scheme val="minor"/>
    </font>
    <font>
      <sz val="13"/>
      <color theme="1"/>
      <name val="Arial"/>
      <family val="2"/>
      <scheme val="minor"/>
    </font>
    <font>
      <sz val="15"/>
      <color theme="1"/>
      <name val="Arial"/>
      <family val="2"/>
      <scheme val="minor"/>
    </font>
    <font>
      <sz val="10"/>
      <name val="Arial"/>
      <family val="2"/>
    </font>
    <font>
      <sz val="12"/>
      <color theme="1"/>
      <name val="Arial"/>
      <family val="2"/>
      <scheme val="minor"/>
    </font>
    <font>
      <sz val="16"/>
      <color theme="1"/>
      <name val="Arial"/>
      <family val="2"/>
      <scheme val="minor"/>
    </font>
    <font>
      <sz val="10"/>
      <color rgb="FF000000"/>
      <name val="Arial"/>
      <family val="2"/>
      <scheme val="minor"/>
    </font>
    <font>
      <sz val="10"/>
      <color theme="1"/>
      <name val="Arial"/>
      <family val="2"/>
      <scheme val="minor"/>
    </font>
    <font>
      <sz val="14"/>
      <color theme="1"/>
      <name val="Arial"/>
      <family val="2"/>
      <scheme val="minor"/>
    </font>
    <font>
      <sz val="6"/>
      <name val="Arial"/>
      <family val="3"/>
      <charset val="128"/>
      <scheme val="minor"/>
    </font>
    <font>
      <sz val="8"/>
      <color theme="1"/>
      <name val="Arial"/>
      <family val="2"/>
      <charset val="128"/>
      <scheme val="minor"/>
    </font>
    <font>
      <sz val="8"/>
      <color theme="1"/>
      <name val="MS Gothic"/>
      <family val="2"/>
      <charset val="128"/>
    </font>
    <font>
      <sz val="8"/>
      <color theme="1"/>
      <name val="Arial"/>
      <family val="2"/>
      <scheme val="minor"/>
    </font>
    <font>
      <sz val="8"/>
      <color theme="1"/>
      <name val="Cambria Math"/>
      <family val="2"/>
    </font>
    <font>
      <sz val="8"/>
      <name val="Arial"/>
      <family val="2"/>
    </font>
    <font>
      <sz val="8"/>
      <color rgb="FF000000"/>
      <name val="Arial"/>
      <family val="2"/>
      <scheme val="minor"/>
    </font>
  </fonts>
  <fills count="5">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F3F3F3"/>
        <bgColor rgb="FFF3F3F3"/>
      </patternFill>
    </fill>
  </fills>
  <borders count="15">
    <border>
      <left/>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s>
  <cellStyleXfs count="1">
    <xf numFmtId="0" fontId="0" fillId="0" borderId="0"/>
  </cellStyleXfs>
  <cellXfs count="49">
    <xf numFmtId="0" fontId="0" fillId="0" borderId="0" xfId="0"/>
    <xf numFmtId="0" fontId="1" fillId="0" borderId="0" xfId="0" applyFont="1" applyAlignment="1">
      <alignment horizontal="right"/>
    </xf>
    <xf numFmtId="14" fontId="1" fillId="0" borderId="0" xfId="0" applyNumberFormat="1" applyFont="1" applyAlignment="1">
      <alignment horizontal="left"/>
    </xf>
    <xf numFmtId="0" fontId="1" fillId="0" borderId="0" xfId="0" applyFont="1"/>
    <xf numFmtId="0" fontId="2" fillId="0" borderId="0" xfId="0" applyFont="1" applyAlignment="1">
      <alignment horizontal="center" vertical="center"/>
    </xf>
    <xf numFmtId="0" fontId="3" fillId="0" borderId="0" xfId="0" applyFont="1"/>
    <xf numFmtId="0" fontId="4" fillId="0" borderId="0" xfId="0" applyFont="1"/>
    <xf numFmtId="0" fontId="6" fillId="0" borderId="0" xfId="0" applyFont="1"/>
    <xf numFmtId="14" fontId="1" fillId="0" borderId="0" xfId="0" applyNumberFormat="1" applyFont="1"/>
    <xf numFmtId="0" fontId="8" fillId="3" borderId="0" xfId="0" applyFont="1" applyFill="1"/>
    <xf numFmtId="0" fontId="6" fillId="4" borderId="12" xfId="0" applyFont="1" applyFill="1" applyBorder="1" applyAlignment="1">
      <alignment vertical="center"/>
    </xf>
    <xf numFmtId="3" fontId="6" fillId="0" borderId="12" xfId="0" applyNumberFormat="1" applyFont="1" applyBorder="1" applyAlignment="1">
      <alignment horizontal="center"/>
    </xf>
    <xf numFmtId="0" fontId="9" fillId="0" borderId="12" xfId="0" applyFont="1" applyBorder="1" applyAlignment="1">
      <alignment vertical="center"/>
    </xf>
    <xf numFmtId="176" fontId="6" fillId="0" borderId="12" xfId="0" applyNumberFormat="1" applyFont="1" applyBorder="1"/>
    <xf numFmtId="0" fontId="6" fillId="0" borderId="12" xfId="0" applyFont="1" applyBorder="1"/>
    <xf numFmtId="0" fontId="10" fillId="4" borderId="12" xfId="0" applyFont="1" applyFill="1" applyBorder="1"/>
    <xf numFmtId="0" fontId="9" fillId="0" borderId="0" xfId="0" applyFont="1" applyAlignment="1">
      <alignment horizontal="center"/>
    </xf>
    <xf numFmtId="0" fontId="9" fillId="0" borderId="0" xfId="0" applyFont="1" applyAlignment="1">
      <alignment vertical="top"/>
    </xf>
    <xf numFmtId="0" fontId="9" fillId="0" borderId="0" xfId="0" applyFont="1"/>
    <xf numFmtId="0" fontId="2" fillId="0" borderId="0" xfId="0" applyFont="1" applyAlignment="1">
      <alignment horizontal="center" vertical="center"/>
    </xf>
    <xf numFmtId="0" fontId="0" fillId="0" borderId="0" xfId="0"/>
    <xf numFmtId="0" fontId="4" fillId="0" borderId="1" xfId="0" applyFont="1" applyBorder="1"/>
    <xf numFmtId="0" fontId="5" fillId="0" borderId="1" xfId="0" applyFont="1" applyBorder="1"/>
    <xf numFmtId="0" fontId="3" fillId="2" borderId="2" xfId="0" applyFont="1" applyFill="1" applyBorder="1" applyAlignment="1">
      <alignment horizontal="center" vertical="center"/>
    </xf>
    <xf numFmtId="0" fontId="5" fillId="0" borderId="6" xfId="0" applyFont="1" applyBorder="1"/>
    <xf numFmtId="176" fontId="7" fillId="0" borderId="3" xfId="0" applyNumberFormat="1" applyFont="1" applyBorder="1" applyAlignment="1">
      <alignment horizontal="center" vertical="center"/>
    </xf>
    <xf numFmtId="0" fontId="5" fillId="0" borderId="4" xfId="0" applyFont="1" applyBorder="1"/>
    <xf numFmtId="0" fontId="5" fillId="0" borderId="7" xfId="0" applyFont="1" applyBorder="1"/>
    <xf numFmtId="0" fontId="1" fillId="0" borderId="5" xfId="0" applyFont="1" applyBorder="1" applyAlignment="1">
      <alignment horizontal="center" vertical="center"/>
    </xf>
    <xf numFmtId="0" fontId="5" fillId="0" borderId="8" xfId="0" applyFont="1" applyBorder="1"/>
    <xf numFmtId="0" fontId="6" fillId="4" borderId="9" xfId="0" applyFont="1" applyFill="1" applyBorder="1" applyAlignment="1">
      <alignment horizontal="center" vertical="center"/>
    </xf>
    <xf numFmtId="0" fontId="5" fillId="0" borderId="10" xfId="0" applyFont="1" applyBorder="1"/>
    <xf numFmtId="0" fontId="5" fillId="0" borderId="11" xfId="0" applyFont="1" applyBorder="1"/>
    <xf numFmtId="0" fontId="6" fillId="4" borderId="9" xfId="0" applyFont="1" applyFill="1" applyBorder="1" applyAlignment="1">
      <alignment vertical="center"/>
    </xf>
    <xf numFmtId="0" fontId="3" fillId="0" borderId="9" xfId="0" applyFont="1" applyBorder="1" applyAlignment="1">
      <alignment vertical="center"/>
    </xf>
    <xf numFmtId="0" fontId="6" fillId="4" borderId="9" xfId="0" applyFont="1" applyFill="1" applyBorder="1" applyAlignment="1">
      <alignment horizontal="center"/>
    </xf>
    <xf numFmtId="0" fontId="9" fillId="0" borderId="3" xfId="0" applyFont="1" applyBorder="1" applyAlignment="1">
      <alignment vertical="top"/>
    </xf>
    <xf numFmtId="0" fontId="5" fillId="0" borderId="5" xfId="0" applyFont="1" applyBorder="1"/>
    <xf numFmtId="0" fontId="5" fillId="0" borderId="13" xfId="0" applyFont="1" applyBorder="1"/>
    <xf numFmtId="0" fontId="5" fillId="0" borderId="14" xfId="0" applyFont="1" applyBorder="1"/>
    <xf numFmtId="0" fontId="12" fillId="0" borderId="3" xfId="0" applyFont="1" applyBorder="1" applyAlignment="1">
      <alignment vertical="top" wrapText="1"/>
    </xf>
    <xf numFmtId="0" fontId="16" fillId="0" borderId="4" xfId="0" applyFont="1" applyBorder="1"/>
    <xf numFmtId="0" fontId="16" fillId="0" borderId="5" xfId="0" applyFont="1" applyBorder="1"/>
    <xf numFmtId="0" fontId="16" fillId="0" borderId="13" xfId="0" applyFont="1" applyBorder="1"/>
    <xf numFmtId="0" fontId="17" fillId="0" borderId="0" xfId="0" applyFont="1"/>
    <xf numFmtId="0" fontId="16" fillId="0" borderId="14" xfId="0" applyFont="1" applyBorder="1"/>
    <xf numFmtId="0" fontId="16" fillId="0" borderId="7" xfId="0" applyFont="1" applyBorder="1"/>
    <xf numFmtId="0" fontId="16" fillId="0" borderId="1" xfId="0" applyFont="1" applyBorder="1"/>
    <xf numFmtId="0" fontId="16" fillId="0" borderId="8" xfId="0" applyFont="1" applyBorder="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J47"/>
  <sheetViews>
    <sheetView showGridLines="0" tabSelected="1" workbookViewId="0">
      <selection activeCell="K33" sqref="K33"/>
    </sheetView>
  </sheetViews>
  <sheetFormatPr baseColWidth="10" defaultColWidth="12.6640625" defaultRowHeight="15.75" customHeight="1" x14ac:dyDescent="0.15"/>
  <cols>
    <col min="1" max="1" width="8.6640625" customWidth="1"/>
    <col min="2" max="4" width="10.1640625" customWidth="1"/>
    <col min="5" max="5" width="5.83203125" customWidth="1"/>
    <col min="7" max="7" width="4.6640625" customWidth="1"/>
    <col min="8" max="8" width="17" customWidth="1"/>
    <col min="9" max="9" width="17.1640625" customWidth="1"/>
    <col min="10" max="10" width="7.1640625" customWidth="1"/>
  </cols>
  <sheetData>
    <row r="1" spans="1:10" ht="20.25" customHeight="1" x14ac:dyDescent="0.15">
      <c r="H1" s="1" t="s">
        <v>0</v>
      </c>
      <c r="I1" s="2">
        <f ca="1">TODAY()</f>
        <v>46100</v>
      </c>
    </row>
    <row r="2" spans="1:10" ht="20.25" customHeight="1" x14ac:dyDescent="0.15">
      <c r="H2" s="1" t="s">
        <v>1</v>
      </c>
      <c r="I2" s="3" t="s">
        <v>2</v>
      </c>
    </row>
    <row r="3" spans="1:10" ht="18.75" customHeight="1" x14ac:dyDescent="0.15">
      <c r="A3" s="4"/>
      <c r="B3" s="4"/>
      <c r="C3" s="4"/>
      <c r="D3" s="4"/>
      <c r="E3" s="4"/>
      <c r="F3" s="4"/>
      <c r="G3" s="4"/>
      <c r="H3" s="4"/>
      <c r="I3" s="4"/>
      <c r="J3" s="4"/>
    </row>
    <row r="4" spans="1:10" ht="37.5" customHeight="1" x14ac:dyDescent="0.15">
      <c r="A4" s="19" t="s">
        <v>3</v>
      </c>
      <c r="B4" s="20"/>
      <c r="C4" s="20"/>
      <c r="D4" s="20"/>
      <c r="E4" s="20"/>
      <c r="F4" s="20"/>
      <c r="G4" s="20"/>
      <c r="H4" s="20"/>
      <c r="I4" s="20"/>
      <c r="J4" s="20"/>
    </row>
    <row r="5" spans="1:10" ht="20.25" customHeight="1" x14ac:dyDescent="0.2">
      <c r="H5" s="5"/>
    </row>
    <row r="6" spans="1:10" ht="20.25" customHeight="1" x14ac:dyDescent="0.2">
      <c r="B6" s="21"/>
      <c r="C6" s="22"/>
      <c r="D6" s="22"/>
      <c r="E6" s="6" t="s">
        <v>4</v>
      </c>
    </row>
    <row r="7" spans="1:10" ht="20.25" customHeight="1" x14ac:dyDescent="0.15"/>
    <row r="8" spans="1:10" ht="20.25" customHeight="1" x14ac:dyDescent="0.2">
      <c r="B8" s="3" t="s">
        <v>5</v>
      </c>
      <c r="C8" s="3"/>
      <c r="D8" s="3"/>
      <c r="H8" s="5" t="s">
        <v>6</v>
      </c>
    </row>
    <row r="9" spans="1:10" ht="6" customHeight="1" x14ac:dyDescent="0.2">
      <c r="B9" s="1"/>
      <c r="C9" s="3"/>
      <c r="D9" s="3"/>
      <c r="H9" s="7"/>
    </row>
    <row r="10" spans="1:10" ht="20.25" customHeight="1" x14ac:dyDescent="0.2">
      <c r="B10" s="1" t="s">
        <v>7</v>
      </c>
      <c r="C10" s="3" t="s">
        <v>8</v>
      </c>
      <c r="D10" s="3"/>
      <c r="H10" s="7" t="s">
        <v>9</v>
      </c>
    </row>
    <row r="11" spans="1:10" ht="20.25" customHeight="1" x14ac:dyDescent="0.2">
      <c r="B11" s="1" t="s">
        <v>10</v>
      </c>
      <c r="C11" s="3" t="s">
        <v>11</v>
      </c>
      <c r="D11" s="3"/>
      <c r="H11" s="7" t="s">
        <v>12</v>
      </c>
    </row>
    <row r="12" spans="1:10" ht="20.25" customHeight="1" x14ac:dyDescent="0.2">
      <c r="B12" s="1" t="s">
        <v>13</v>
      </c>
      <c r="C12" s="3" t="s">
        <v>14</v>
      </c>
      <c r="D12" s="3"/>
      <c r="H12" s="7" t="s">
        <v>15</v>
      </c>
    </row>
    <row r="13" spans="1:10" ht="20.25" customHeight="1" x14ac:dyDescent="0.2">
      <c r="B13" s="1" t="s">
        <v>16</v>
      </c>
      <c r="C13" s="8">
        <v>46022</v>
      </c>
      <c r="D13" s="3"/>
      <c r="H13" s="7" t="s">
        <v>17</v>
      </c>
    </row>
    <row r="14" spans="1:10" ht="20.25" customHeight="1" x14ac:dyDescent="0.2">
      <c r="H14" s="7" t="s">
        <v>18</v>
      </c>
    </row>
    <row r="15" spans="1:10" ht="20.25" customHeight="1" x14ac:dyDescent="0.15">
      <c r="B15" s="23" t="s">
        <v>19</v>
      </c>
      <c r="C15" s="25">
        <f>I28</f>
        <v>1998000</v>
      </c>
      <c r="D15" s="26"/>
      <c r="E15" s="28" t="s">
        <v>20</v>
      </c>
    </row>
    <row r="16" spans="1:10" ht="15.75" customHeight="1" x14ac:dyDescent="0.15">
      <c r="B16" s="24"/>
      <c r="C16" s="27"/>
      <c r="D16" s="22"/>
      <c r="E16" s="29"/>
    </row>
    <row r="17" spans="1:9" ht="20.25" customHeight="1" x14ac:dyDescent="0.15"/>
    <row r="18" spans="1:9" ht="20.25" customHeight="1" x14ac:dyDescent="0.15">
      <c r="A18" s="9"/>
      <c r="B18" s="30" t="s">
        <v>21</v>
      </c>
      <c r="C18" s="31"/>
      <c r="D18" s="31"/>
      <c r="E18" s="32"/>
      <c r="F18" s="33" t="s">
        <v>22</v>
      </c>
      <c r="G18" s="32"/>
      <c r="H18" s="10" t="s">
        <v>23</v>
      </c>
      <c r="I18" s="10" t="s">
        <v>24</v>
      </c>
    </row>
    <row r="19" spans="1:9" ht="20.25" customHeight="1" x14ac:dyDescent="0.2">
      <c r="B19" s="34" t="s">
        <v>25</v>
      </c>
      <c r="C19" s="31"/>
      <c r="D19" s="31"/>
      <c r="E19" s="32"/>
      <c r="F19" s="11">
        <v>1</v>
      </c>
      <c r="G19" s="12" t="s">
        <v>26</v>
      </c>
      <c r="H19" s="13">
        <v>2498000</v>
      </c>
      <c r="I19" s="13">
        <f t="shared" ref="I19:I20" si="0">F19*H19</f>
        <v>2498000</v>
      </c>
    </row>
    <row r="20" spans="1:9" ht="20.25" customHeight="1" x14ac:dyDescent="0.2">
      <c r="B20" s="34" t="s">
        <v>27</v>
      </c>
      <c r="C20" s="31"/>
      <c r="D20" s="31"/>
      <c r="E20" s="32"/>
      <c r="F20" s="11">
        <v>1</v>
      </c>
      <c r="G20" s="12" t="s">
        <v>28</v>
      </c>
      <c r="H20" s="13">
        <v>-500000</v>
      </c>
      <c r="I20" s="13">
        <f t="shared" si="0"/>
        <v>-500000</v>
      </c>
    </row>
    <row r="21" spans="1:9" ht="20.25" customHeight="1" x14ac:dyDescent="0.2">
      <c r="B21" s="34"/>
      <c r="C21" s="31"/>
      <c r="D21" s="31"/>
      <c r="E21" s="32"/>
      <c r="F21" s="11"/>
      <c r="G21" s="12"/>
      <c r="H21" s="13"/>
      <c r="I21" s="14"/>
    </row>
    <row r="22" spans="1:9" ht="20.25" customHeight="1" x14ac:dyDescent="0.2">
      <c r="B22" s="34"/>
      <c r="C22" s="31"/>
      <c r="D22" s="31"/>
      <c r="E22" s="32"/>
      <c r="F22" s="11"/>
      <c r="G22" s="12"/>
      <c r="H22" s="13"/>
      <c r="I22" s="14"/>
    </row>
    <row r="23" spans="1:9" ht="20.25" customHeight="1" x14ac:dyDescent="0.2">
      <c r="B23" s="34"/>
      <c r="C23" s="31"/>
      <c r="D23" s="31"/>
      <c r="E23" s="32"/>
      <c r="F23" s="11"/>
      <c r="G23" s="12"/>
      <c r="H23" s="13"/>
      <c r="I23" s="14"/>
    </row>
    <row r="24" spans="1:9" ht="20.25" customHeight="1" x14ac:dyDescent="0.2">
      <c r="B24" s="34"/>
      <c r="C24" s="31"/>
      <c r="D24" s="31"/>
      <c r="E24" s="32"/>
      <c r="F24" s="11"/>
      <c r="G24" s="12"/>
      <c r="H24" s="13"/>
      <c r="I24" s="14"/>
    </row>
    <row r="25" spans="1:9" ht="20.25" customHeight="1" x14ac:dyDescent="0.2">
      <c r="B25" s="34"/>
      <c r="C25" s="31"/>
      <c r="D25" s="31"/>
      <c r="E25" s="32"/>
      <c r="F25" s="11"/>
      <c r="G25" s="12"/>
      <c r="H25" s="13"/>
      <c r="I25" s="14"/>
    </row>
    <row r="26" spans="1:9" ht="20.25" customHeight="1" x14ac:dyDescent="0.2">
      <c r="B26" s="34"/>
      <c r="C26" s="31"/>
      <c r="D26" s="31"/>
      <c r="E26" s="32"/>
      <c r="F26" s="11"/>
      <c r="G26" s="12"/>
      <c r="H26" s="13"/>
      <c r="I26" s="14"/>
    </row>
    <row r="27" spans="1:9" ht="20.25" customHeight="1" x14ac:dyDescent="0.2">
      <c r="B27" s="34"/>
      <c r="C27" s="31"/>
      <c r="D27" s="31"/>
      <c r="E27" s="32"/>
      <c r="F27" s="11"/>
      <c r="G27" s="12"/>
      <c r="H27" s="13"/>
      <c r="I27" s="14"/>
    </row>
    <row r="28" spans="1:9" ht="20.25" customHeight="1" x14ac:dyDescent="0.2">
      <c r="H28" s="15" t="s">
        <v>29</v>
      </c>
      <c r="I28" s="13">
        <f>SUM(I19:I27)</f>
        <v>1998000</v>
      </c>
    </row>
    <row r="29" spans="1:9" ht="20.25" customHeight="1" x14ac:dyDescent="0.2">
      <c r="H29" s="15" t="s">
        <v>30</v>
      </c>
      <c r="I29" s="13">
        <f>I28*0.1</f>
        <v>199800</v>
      </c>
    </row>
    <row r="30" spans="1:9" ht="20.25" customHeight="1" x14ac:dyDescent="0.2">
      <c r="H30" s="15" t="s">
        <v>31</v>
      </c>
      <c r="I30" s="13">
        <f>I28+I29</f>
        <v>2197800</v>
      </c>
    </row>
    <row r="31" spans="1:9" ht="20.25" customHeight="1" x14ac:dyDescent="0.15">
      <c r="B31" s="16"/>
      <c r="C31" s="16"/>
      <c r="D31" s="16"/>
      <c r="E31" s="16"/>
      <c r="F31" s="16"/>
      <c r="G31" s="16"/>
      <c r="H31" s="16"/>
      <c r="I31" s="16"/>
    </row>
    <row r="32" spans="1:9" ht="20.25" customHeight="1" x14ac:dyDescent="0.2">
      <c r="B32" s="35" t="s">
        <v>32</v>
      </c>
      <c r="C32" s="31"/>
      <c r="D32" s="31"/>
      <c r="E32" s="31"/>
      <c r="F32" s="31"/>
      <c r="G32" s="31"/>
      <c r="H32" s="31"/>
      <c r="I32" s="32"/>
    </row>
    <row r="33" spans="2:9" ht="20.25" customHeight="1" x14ac:dyDescent="0.15">
      <c r="B33" s="40" t="s">
        <v>40</v>
      </c>
      <c r="C33" s="41"/>
      <c r="D33" s="41"/>
      <c r="E33" s="41"/>
      <c r="F33" s="41"/>
      <c r="G33" s="41"/>
      <c r="H33" s="41"/>
      <c r="I33" s="42"/>
    </row>
    <row r="34" spans="2:9" ht="20.25" customHeight="1" x14ac:dyDescent="0.15">
      <c r="B34" s="43"/>
      <c r="C34" s="44"/>
      <c r="D34" s="44"/>
      <c r="E34" s="44"/>
      <c r="F34" s="44"/>
      <c r="G34" s="44"/>
      <c r="H34" s="44"/>
      <c r="I34" s="45"/>
    </row>
    <row r="35" spans="2:9" ht="20.25" customHeight="1" x14ac:dyDescent="0.15">
      <c r="B35" s="43"/>
      <c r="C35" s="44"/>
      <c r="D35" s="44"/>
      <c r="E35" s="44"/>
      <c r="F35" s="44"/>
      <c r="G35" s="44"/>
      <c r="H35" s="44"/>
      <c r="I35" s="45"/>
    </row>
    <row r="36" spans="2:9" ht="20.25" customHeight="1" x14ac:dyDescent="0.15">
      <c r="B36" s="43"/>
      <c r="C36" s="44"/>
      <c r="D36" s="44"/>
      <c r="E36" s="44"/>
      <c r="F36" s="44"/>
      <c r="G36" s="44"/>
      <c r="H36" s="44"/>
      <c r="I36" s="45"/>
    </row>
    <row r="37" spans="2:9" ht="20.25" customHeight="1" x14ac:dyDescent="0.15">
      <c r="B37" s="43"/>
      <c r="C37" s="44"/>
      <c r="D37" s="44"/>
      <c r="E37" s="44"/>
      <c r="F37" s="44"/>
      <c r="G37" s="44"/>
      <c r="H37" s="44"/>
      <c r="I37" s="45"/>
    </row>
    <row r="38" spans="2:9" ht="20.25" customHeight="1" x14ac:dyDescent="0.15">
      <c r="B38" s="43"/>
      <c r="C38" s="44"/>
      <c r="D38" s="44"/>
      <c r="E38" s="44"/>
      <c r="F38" s="44"/>
      <c r="G38" s="44"/>
      <c r="H38" s="44"/>
      <c r="I38" s="45"/>
    </row>
    <row r="39" spans="2:9" ht="20.25" customHeight="1" x14ac:dyDescent="0.15">
      <c r="B39" s="43"/>
      <c r="C39" s="44"/>
      <c r="D39" s="44"/>
      <c r="E39" s="44"/>
      <c r="F39" s="44"/>
      <c r="G39" s="44"/>
      <c r="H39" s="44"/>
      <c r="I39" s="45"/>
    </row>
    <row r="40" spans="2:9" ht="20.25" customHeight="1" x14ac:dyDescent="0.15">
      <c r="B40" s="43"/>
      <c r="C40" s="44"/>
      <c r="D40" s="44"/>
      <c r="E40" s="44"/>
      <c r="F40" s="44"/>
      <c r="G40" s="44"/>
      <c r="H40" s="44"/>
      <c r="I40" s="45"/>
    </row>
    <row r="41" spans="2:9" ht="20.25" customHeight="1" x14ac:dyDescent="0.15">
      <c r="B41" s="43"/>
      <c r="C41" s="44"/>
      <c r="D41" s="44"/>
      <c r="E41" s="44"/>
      <c r="F41" s="44"/>
      <c r="G41" s="44"/>
      <c r="H41" s="44"/>
      <c r="I41" s="45"/>
    </row>
    <row r="42" spans="2:9" ht="20.25" customHeight="1" x14ac:dyDescent="0.15">
      <c r="B42" s="43"/>
      <c r="C42" s="44"/>
      <c r="D42" s="44"/>
      <c r="E42" s="44"/>
      <c r="F42" s="44"/>
      <c r="G42" s="44"/>
      <c r="H42" s="44"/>
      <c r="I42" s="45"/>
    </row>
    <row r="43" spans="2:9" ht="13" x14ac:dyDescent="0.15">
      <c r="B43" s="43"/>
      <c r="C43" s="44"/>
      <c r="D43" s="44"/>
      <c r="E43" s="44"/>
      <c r="F43" s="44"/>
      <c r="G43" s="44"/>
      <c r="H43" s="44"/>
      <c r="I43" s="45"/>
    </row>
    <row r="44" spans="2:9" ht="13" x14ac:dyDescent="0.15">
      <c r="B44" s="43"/>
      <c r="C44" s="44"/>
      <c r="D44" s="44"/>
      <c r="E44" s="44"/>
      <c r="F44" s="44"/>
      <c r="G44" s="44"/>
      <c r="H44" s="44"/>
      <c r="I44" s="45"/>
    </row>
    <row r="45" spans="2:9" ht="13" x14ac:dyDescent="0.15">
      <c r="B45" s="46"/>
      <c r="C45" s="47"/>
      <c r="D45" s="47"/>
      <c r="E45" s="47"/>
      <c r="F45" s="47"/>
      <c r="G45" s="47"/>
      <c r="H45" s="47"/>
      <c r="I45" s="48"/>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B33:I45"/>
    <mergeCell ref="B19:E19"/>
    <mergeCell ref="B20:E20"/>
    <mergeCell ref="B21:E21"/>
    <mergeCell ref="B22:E22"/>
    <mergeCell ref="B23:E23"/>
    <mergeCell ref="B24:E24"/>
    <mergeCell ref="B25:E25"/>
    <mergeCell ref="B18:E18"/>
    <mergeCell ref="F18:G18"/>
    <mergeCell ref="B26:E26"/>
    <mergeCell ref="B27:E27"/>
    <mergeCell ref="B32:I32"/>
    <mergeCell ref="A4:J4"/>
    <mergeCell ref="B6:D6"/>
    <mergeCell ref="B15:B16"/>
    <mergeCell ref="C15:D16"/>
    <mergeCell ref="E15:E16"/>
  </mergeCells>
  <phoneticPr fontId="11"/>
  <printOptions horizontalCentered="1" gridLines="1"/>
  <pageMargins left="0.25" right="0.25" top="0.75" bottom="0.75" header="0" footer="0"/>
  <pageSetup paperSize="9" scale="83" fitToWidth="0"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J47"/>
  <sheetViews>
    <sheetView showGridLines="0" workbookViewId="0"/>
  </sheetViews>
  <sheetFormatPr baseColWidth="10" defaultColWidth="12.6640625" defaultRowHeight="15.75" customHeight="1" x14ac:dyDescent="0.15"/>
  <cols>
    <col min="1" max="1" width="8.5" customWidth="1"/>
    <col min="2" max="4" width="10.1640625" customWidth="1"/>
    <col min="5" max="5" width="5.83203125" customWidth="1"/>
    <col min="7" max="7" width="4.6640625" customWidth="1"/>
    <col min="8" max="8" width="17" customWidth="1"/>
    <col min="9" max="9" width="14.33203125" customWidth="1"/>
    <col min="10" max="10" width="9.5" customWidth="1"/>
  </cols>
  <sheetData>
    <row r="1" spans="1:10" ht="20.25" customHeight="1" x14ac:dyDescent="0.15">
      <c r="H1" s="1" t="s">
        <v>34</v>
      </c>
      <c r="I1" s="2"/>
    </row>
    <row r="2" spans="1:10" ht="20.25" customHeight="1" x14ac:dyDescent="0.15">
      <c r="H2" s="1" t="s">
        <v>1</v>
      </c>
      <c r="I2" s="3" t="s">
        <v>2</v>
      </c>
    </row>
    <row r="3" spans="1:10" ht="18.75" customHeight="1" x14ac:dyDescent="0.15">
      <c r="A3" s="4"/>
      <c r="B3" s="4"/>
      <c r="C3" s="4"/>
      <c r="D3" s="4"/>
      <c r="E3" s="4"/>
      <c r="F3" s="4"/>
      <c r="G3" s="4"/>
      <c r="H3" s="4"/>
      <c r="I3" s="4"/>
      <c r="J3" s="4"/>
    </row>
    <row r="4" spans="1:10" ht="37.5" customHeight="1" x14ac:dyDescent="0.15">
      <c r="A4" s="19" t="s">
        <v>35</v>
      </c>
      <c r="B4" s="20"/>
      <c r="C4" s="20"/>
      <c r="D4" s="20"/>
      <c r="E4" s="20"/>
      <c r="F4" s="20"/>
      <c r="G4" s="20"/>
      <c r="H4" s="20"/>
      <c r="I4" s="20"/>
      <c r="J4" s="20"/>
    </row>
    <row r="5" spans="1:10" ht="20.25" customHeight="1" x14ac:dyDescent="0.2">
      <c r="H5" s="5"/>
    </row>
    <row r="6" spans="1:10" ht="20.25" customHeight="1" x14ac:dyDescent="0.2">
      <c r="B6" s="21" t="s">
        <v>6</v>
      </c>
      <c r="C6" s="22"/>
      <c r="D6" s="22"/>
      <c r="E6" s="6" t="s">
        <v>4</v>
      </c>
    </row>
    <row r="7" spans="1:10" ht="20.25" customHeight="1" x14ac:dyDescent="0.15"/>
    <row r="8" spans="1:10" ht="20.25" customHeight="1" x14ac:dyDescent="0.2">
      <c r="B8" s="3" t="s">
        <v>36</v>
      </c>
      <c r="C8" s="3"/>
      <c r="D8" s="3"/>
      <c r="H8" s="5" t="s">
        <v>37</v>
      </c>
      <c r="J8" s="18" t="s">
        <v>38</v>
      </c>
    </row>
    <row r="9" spans="1:10" ht="6" customHeight="1" x14ac:dyDescent="0.2">
      <c r="B9" s="1"/>
      <c r="C9" s="3"/>
      <c r="D9" s="3"/>
      <c r="H9" s="7"/>
    </row>
    <row r="10" spans="1:10" ht="20.25" customHeight="1" x14ac:dyDescent="0.2">
      <c r="B10" s="1" t="s">
        <v>7</v>
      </c>
      <c r="C10" s="3" t="s">
        <v>8</v>
      </c>
      <c r="D10" s="3"/>
      <c r="H10" s="7" t="s">
        <v>39</v>
      </c>
    </row>
    <row r="11" spans="1:10" ht="20.25" customHeight="1" x14ac:dyDescent="0.2">
      <c r="B11" s="1" t="s">
        <v>10</v>
      </c>
      <c r="C11" s="3" t="s">
        <v>11</v>
      </c>
      <c r="D11" s="3"/>
      <c r="H11" s="7"/>
    </row>
    <row r="12" spans="1:10" ht="20.25" customHeight="1" x14ac:dyDescent="0.2">
      <c r="B12" s="1" t="s">
        <v>13</v>
      </c>
      <c r="C12" s="3" t="s">
        <v>14</v>
      </c>
      <c r="D12" s="3"/>
      <c r="H12" s="7"/>
    </row>
    <row r="13" spans="1:10" ht="20.25" customHeight="1" x14ac:dyDescent="0.2">
      <c r="B13" s="1"/>
      <c r="C13" s="3"/>
      <c r="D13" s="3"/>
      <c r="H13" s="7"/>
    </row>
    <row r="14" spans="1:10" ht="20.25" customHeight="1" x14ac:dyDescent="0.2">
      <c r="H14" s="7"/>
    </row>
    <row r="15" spans="1:10" ht="20.25" customHeight="1" x14ac:dyDescent="0.15">
      <c r="B15" s="23" t="s">
        <v>19</v>
      </c>
      <c r="C15" s="25">
        <f>I28</f>
        <v>1998000</v>
      </c>
      <c r="D15" s="26"/>
      <c r="E15" s="28" t="s">
        <v>20</v>
      </c>
    </row>
    <row r="16" spans="1:10" ht="15.75" customHeight="1" x14ac:dyDescent="0.15">
      <c r="B16" s="24"/>
      <c r="C16" s="27"/>
      <c r="D16" s="22"/>
      <c r="E16" s="29"/>
    </row>
    <row r="17" spans="1:9" ht="20.25" customHeight="1" x14ac:dyDescent="0.15"/>
    <row r="18" spans="1:9" ht="20.25" customHeight="1" x14ac:dyDescent="0.15">
      <c r="A18" s="9"/>
      <c r="B18" s="30" t="s">
        <v>21</v>
      </c>
      <c r="C18" s="31"/>
      <c r="D18" s="31"/>
      <c r="E18" s="32"/>
      <c r="F18" s="33" t="s">
        <v>22</v>
      </c>
      <c r="G18" s="32"/>
      <c r="H18" s="10" t="s">
        <v>23</v>
      </c>
      <c r="I18" s="10" t="s">
        <v>24</v>
      </c>
    </row>
    <row r="19" spans="1:9" ht="20.25" customHeight="1" x14ac:dyDescent="0.2">
      <c r="B19" s="34" t="s">
        <v>25</v>
      </c>
      <c r="C19" s="31"/>
      <c r="D19" s="31"/>
      <c r="E19" s="32"/>
      <c r="F19" s="11">
        <v>1</v>
      </c>
      <c r="G19" s="12" t="s">
        <v>26</v>
      </c>
      <c r="H19" s="13">
        <v>2498000</v>
      </c>
      <c r="I19" s="13">
        <f t="shared" ref="I19:I20" si="0">F19*H19</f>
        <v>2498000</v>
      </c>
    </row>
    <row r="20" spans="1:9" ht="20.25" customHeight="1" x14ac:dyDescent="0.2">
      <c r="B20" s="34" t="s">
        <v>27</v>
      </c>
      <c r="C20" s="31"/>
      <c r="D20" s="31"/>
      <c r="E20" s="32"/>
      <c r="F20" s="11">
        <v>1</v>
      </c>
      <c r="G20" s="12" t="s">
        <v>28</v>
      </c>
      <c r="H20" s="13">
        <v>-500000</v>
      </c>
      <c r="I20" s="13">
        <f t="shared" si="0"/>
        <v>-500000</v>
      </c>
    </row>
    <row r="21" spans="1:9" ht="20.25" customHeight="1" x14ac:dyDescent="0.2">
      <c r="B21" s="34"/>
      <c r="C21" s="31"/>
      <c r="D21" s="31"/>
      <c r="E21" s="32"/>
      <c r="F21" s="11"/>
      <c r="G21" s="12"/>
      <c r="H21" s="13"/>
      <c r="I21" s="14"/>
    </row>
    <row r="22" spans="1:9" ht="20.25" customHeight="1" x14ac:dyDescent="0.2">
      <c r="B22" s="34"/>
      <c r="C22" s="31"/>
      <c r="D22" s="31"/>
      <c r="E22" s="32"/>
      <c r="F22" s="11"/>
      <c r="G22" s="12"/>
      <c r="H22" s="13"/>
      <c r="I22" s="14"/>
    </row>
    <row r="23" spans="1:9" ht="20.25" customHeight="1" x14ac:dyDescent="0.2">
      <c r="B23" s="34"/>
      <c r="C23" s="31"/>
      <c r="D23" s="31"/>
      <c r="E23" s="32"/>
      <c r="F23" s="11"/>
      <c r="G23" s="12"/>
      <c r="H23" s="13"/>
      <c r="I23" s="14"/>
    </row>
    <row r="24" spans="1:9" ht="20.25" customHeight="1" x14ac:dyDescent="0.2">
      <c r="B24" s="34"/>
      <c r="C24" s="31"/>
      <c r="D24" s="31"/>
      <c r="E24" s="32"/>
      <c r="F24" s="11"/>
      <c r="G24" s="12"/>
      <c r="H24" s="13"/>
      <c r="I24" s="14"/>
    </row>
    <row r="25" spans="1:9" ht="20.25" customHeight="1" x14ac:dyDescent="0.2">
      <c r="B25" s="34"/>
      <c r="C25" s="31"/>
      <c r="D25" s="31"/>
      <c r="E25" s="32"/>
      <c r="F25" s="11"/>
      <c r="G25" s="12"/>
      <c r="H25" s="13"/>
      <c r="I25" s="14"/>
    </row>
    <row r="26" spans="1:9" ht="20.25" customHeight="1" x14ac:dyDescent="0.2">
      <c r="B26" s="34"/>
      <c r="C26" s="31"/>
      <c r="D26" s="31"/>
      <c r="E26" s="32"/>
      <c r="F26" s="11"/>
      <c r="G26" s="12"/>
      <c r="H26" s="13"/>
      <c r="I26" s="14"/>
    </row>
    <row r="27" spans="1:9" ht="20.25" customHeight="1" x14ac:dyDescent="0.2">
      <c r="B27" s="34"/>
      <c r="C27" s="31"/>
      <c r="D27" s="31"/>
      <c r="E27" s="32"/>
      <c r="F27" s="11"/>
      <c r="G27" s="12"/>
      <c r="H27" s="13"/>
      <c r="I27" s="14"/>
    </row>
    <row r="28" spans="1:9" ht="20.25" customHeight="1" x14ac:dyDescent="0.2">
      <c r="H28" s="15" t="s">
        <v>29</v>
      </c>
      <c r="I28" s="13">
        <f>SUM(I19:I27)</f>
        <v>1998000</v>
      </c>
    </row>
    <row r="29" spans="1:9" ht="20.25" customHeight="1" x14ac:dyDescent="0.2">
      <c r="H29" s="15" t="s">
        <v>30</v>
      </c>
      <c r="I29" s="13">
        <f>I28*0.1</f>
        <v>199800</v>
      </c>
    </row>
    <row r="30" spans="1:9" ht="20.25" customHeight="1" x14ac:dyDescent="0.2">
      <c r="H30" s="15" t="s">
        <v>31</v>
      </c>
      <c r="I30" s="13">
        <f>I28+I29</f>
        <v>2197800</v>
      </c>
    </row>
    <row r="31" spans="1:9" ht="20.25" customHeight="1" x14ac:dyDescent="0.15">
      <c r="B31" s="16"/>
      <c r="C31" s="16"/>
      <c r="D31" s="16"/>
      <c r="E31" s="16"/>
      <c r="F31" s="16"/>
      <c r="G31" s="16"/>
      <c r="H31" s="16"/>
      <c r="I31" s="16"/>
    </row>
    <row r="32" spans="1:9" ht="20.25" customHeight="1" x14ac:dyDescent="0.2">
      <c r="B32" s="35" t="s">
        <v>32</v>
      </c>
      <c r="C32" s="31"/>
      <c r="D32" s="31"/>
      <c r="E32" s="31"/>
      <c r="F32" s="31"/>
      <c r="G32" s="31"/>
      <c r="H32" s="31"/>
      <c r="I32" s="32"/>
    </row>
    <row r="33" spans="2:9" ht="20.25" customHeight="1" x14ac:dyDescent="0.15">
      <c r="B33" s="36" t="s">
        <v>33</v>
      </c>
      <c r="C33" s="26"/>
      <c r="D33" s="26"/>
      <c r="E33" s="26"/>
      <c r="F33" s="26"/>
      <c r="G33" s="26"/>
      <c r="H33" s="26"/>
      <c r="I33" s="37"/>
    </row>
    <row r="34" spans="2:9" ht="20.25" customHeight="1" x14ac:dyDescent="0.15">
      <c r="B34" s="38"/>
      <c r="C34" s="20"/>
      <c r="D34" s="20"/>
      <c r="E34" s="20"/>
      <c r="F34" s="20"/>
      <c r="G34" s="20"/>
      <c r="H34" s="20"/>
      <c r="I34" s="39"/>
    </row>
    <row r="35" spans="2:9" ht="20.25" customHeight="1" x14ac:dyDescent="0.15">
      <c r="B35" s="38"/>
      <c r="C35" s="20"/>
      <c r="D35" s="20"/>
      <c r="E35" s="20"/>
      <c r="F35" s="20"/>
      <c r="G35" s="20"/>
      <c r="H35" s="20"/>
      <c r="I35" s="39"/>
    </row>
    <row r="36" spans="2:9" ht="20.25" customHeight="1" x14ac:dyDescent="0.15">
      <c r="B36" s="38"/>
      <c r="C36" s="20"/>
      <c r="D36" s="20"/>
      <c r="E36" s="20"/>
      <c r="F36" s="20"/>
      <c r="G36" s="20"/>
      <c r="H36" s="20"/>
      <c r="I36" s="39"/>
    </row>
    <row r="37" spans="2:9" ht="20.25" customHeight="1" x14ac:dyDescent="0.15">
      <c r="B37" s="38"/>
      <c r="C37" s="20"/>
      <c r="D37" s="20"/>
      <c r="E37" s="20"/>
      <c r="F37" s="20"/>
      <c r="G37" s="20"/>
      <c r="H37" s="20"/>
      <c r="I37" s="39"/>
    </row>
    <row r="38" spans="2:9" ht="20.25" customHeight="1" x14ac:dyDescent="0.15">
      <c r="B38" s="38"/>
      <c r="C38" s="20"/>
      <c r="D38" s="20"/>
      <c r="E38" s="20"/>
      <c r="F38" s="20"/>
      <c r="G38" s="20"/>
      <c r="H38" s="20"/>
      <c r="I38" s="39"/>
    </row>
    <row r="39" spans="2:9" ht="20.25" customHeight="1" x14ac:dyDescent="0.15">
      <c r="B39" s="38"/>
      <c r="C39" s="20"/>
      <c r="D39" s="20"/>
      <c r="E39" s="20"/>
      <c r="F39" s="20"/>
      <c r="G39" s="20"/>
      <c r="H39" s="20"/>
      <c r="I39" s="39"/>
    </row>
    <row r="40" spans="2:9" ht="20.25" customHeight="1" x14ac:dyDescent="0.15">
      <c r="B40" s="38"/>
      <c r="C40" s="20"/>
      <c r="D40" s="20"/>
      <c r="E40" s="20"/>
      <c r="F40" s="20"/>
      <c r="G40" s="20"/>
      <c r="H40" s="20"/>
      <c r="I40" s="39"/>
    </row>
    <row r="41" spans="2:9" ht="20.25" customHeight="1" x14ac:dyDescent="0.15">
      <c r="B41" s="38"/>
      <c r="C41" s="20"/>
      <c r="D41" s="20"/>
      <c r="E41" s="20"/>
      <c r="F41" s="20"/>
      <c r="G41" s="20"/>
      <c r="H41" s="20"/>
      <c r="I41" s="39"/>
    </row>
    <row r="42" spans="2:9" ht="20.25" customHeight="1" x14ac:dyDescent="0.15">
      <c r="B42" s="38"/>
      <c r="C42" s="20"/>
      <c r="D42" s="20"/>
      <c r="E42" s="20"/>
      <c r="F42" s="20"/>
      <c r="G42" s="20"/>
      <c r="H42" s="20"/>
      <c r="I42" s="39"/>
    </row>
    <row r="43" spans="2:9" ht="13" x14ac:dyDescent="0.15">
      <c r="B43" s="38"/>
      <c r="C43" s="20"/>
      <c r="D43" s="20"/>
      <c r="E43" s="20"/>
      <c r="F43" s="20"/>
      <c r="G43" s="20"/>
      <c r="H43" s="20"/>
      <c r="I43" s="39"/>
    </row>
    <row r="44" spans="2:9" ht="13" x14ac:dyDescent="0.15">
      <c r="B44" s="38"/>
      <c r="C44" s="20"/>
      <c r="D44" s="20"/>
      <c r="E44" s="20"/>
      <c r="F44" s="20"/>
      <c r="G44" s="20"/>
      <c r="H44" s="20"/>
      <c r="I44" s="39"/>
    </row>
    <row r="45" spans="2:9" ht="13" x14ac:dyDescent="0.15">
      <c r="B45" s="27"/>
      <c r="C45" s="22"/>
      <c r="D45" s="22"/>
      <c r="E45" s="22"/>
      <c r="F45" s="22"/>
      <c r="G45" s="22"/>
      <c r="H45" s="22"/>
      <c r="I45" s="29"/>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B33:I45"/>
    <mergeCell ref="B19:E19"/>
    <mergeCell ref="B20:E20"/>
    <mergeCell ref="B21:E21"/>
    <mergeCell ref="B22:E22"/>
    <mergeCell ref="B23:E23"/>
    <mergeCell ref="B24:E24"/>
    <mergeCell ref="B25:E25"/>
    <mergeCell ref="B18:E18"/>
    <mergeCell ref="F18:G18"/>
    <mergeCell ref="B26:E26"/>
    <mergeCell ref="B27:E27"/>
    <mergeCell ref="B32:I32"/>
    <mergeCell ref="A4:J4"/>
    <mergeCell ref="B6:D6"/>
    <mergeCell ref="B15:B16"/>
    <mergeCell ref="C15:D16"/>
    <mergeCell ref="E15:E16"/>
  </mergeCells>
  <phoneticPr fontId="11"/>
  <printOptions horizontalCentered="1" gridLines="1"/>
  <pageMargins left="0.25" right="0.25" top="0.75" bottom="0.75" header="0" footer="0"/>
  <pageSetup paperSize="9" fitToWidth="0" pageOrder="overThenDown" orientation="portrait"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J47"/>
  <sheetViews>
    <sheetView showGridLines="0" workbookViewId="0"/>
  </sheetViews>
  <sheetFormatPr baseColWidth="10" defaultColWidth="12.6640625" defaultRowHeight="15.75" customHeight="1" x14ac:dyDescent="0.15"/>
  <cols>
    <col min="1" max="1" width="8.5" customWidth="1"/>
    <col min="2" max="4" width="10.1640625" customWidth="1"/>
    <col min="5" max="5" width="5.83203125" customWidth="1"/>
    <col min="7" max="7" width="4.6640625" customWidth="1"/>
    <col min="8" max="8" width="17" customWidth="1"/>
    <col min="9" max="9" width="14.33203125" customWidth="1"/>
    <col min="10" max="10" width="9.5" customWidth="1"/>
  </cols>
  <sheetData>
    <row r="1" spans="1:10" ht="20.25" customHeight="1" x14ac:dyDescent="0.15">
      <c r="H1" s="1" t="s">
        <v>34</v>
      </c>
      <c r="I1" s="2"/>
    </row>
    <row r="2" spans="1:10" ht="20.25" customHeight="1" x14ac:dyDescent="0.15">
      <c r="H2" s="1" t="s">
        <v>1</v>
      </c>
      <c r="I2" s="3" t="s">
        <v>2</v>
      </c>
    </row>
    <row r="3" spans="1:10" ht="18.75" customHeight="1" x14ac:dyDescent="0.15">
      <c r="A3" s="4"/>
      <c r="B3" s="4"/>
      <c r="C3" s="4"/>
      <c r="D3" s="4"/>
      <c r="E3" s="4"/>
      <c r="F3" s="4"/>
      <c r="G3" s="4"/>
      <c r="H3" s="4"/>
      <c r="I3" s="4"/>
      <c r="J3" s="4"/>
    </row>
    <row r="4" spans="1:10" ht="37.5" customHeight="1" x14ac:dyDescent="0.15">
      <c r="A4" s="19" t="s">
        <v>35</v>
      </c>
      <c r="B4" s="20"/>
      <c r="C4" s="20"/>
      <c r="D4" s="20"/>
      <c r="E4" s="20"/>
      <c r="F4" s="20"/>
      <c r="G4" s="20"/>
      <c r="H4" s="20"/>
      <c r="I4" s="20"/>
      <c r="J4" s="20"/>
    </row>
    <row r="5" spans="1:10" ht="20.25" customHeight="1" x14ac:dyDescent="0.2">
      <c r="H5" s="5"/>
    </row>
    <row r="6" spans="1:10" ht="20.25" customHeight="1" x14ac:dyDescent="0.2">
      <c r="B6" s="21" t="s">
        <v>6</v>
      </c>
      <c r="C6" s="22"/>
      <c r="D6" s="22"/>
      <c r="E6" s="6" t="s">
        <v>4</v>
      </c>
    </row>
    <row r="7" spans="1:10" ht="20.25" customHeight="1" x14ac:dyDescent="0.15"/>
    <row r="8" spans="1:10" ht="20.25" customHeight="1" x14ac:dyDescent="0.2">
      <c r="B8" s="3" t="s">
        <v>36</v>
      </c>
      <c r="C8" s="3"/>
      <c r="D8" s="3"/>
      <c r="H8" s="5" t="s">
        <v>37</v>
      </c>
      <c r="J8" s="18" t="s">
        <v>38</v>
      </c>
    </row>
    <row r="9" spans="1:10" ht="6" customHeight="1" x14ac:dyDescent="0.2">
      <c r="B9" s="1"/>
      <c r="C9" s="3"/>
      <c r="D9" s="3"/>
      <c r="H9" s="7"/>
    </row>
    <row r="10" spans="1:10" ht="20.25" customHeight="1" x14ac:dyDescent="0.2">
      <c r="B10" s="1" t="s">
        <v>7</v>
      </c>
      <c r="C10" s="3" t="s">
        <v>8</v>
      </c>
      <c r="D10" s="3"/>
      <c r="H10" s="7" t="s">
        <v>39</v>
      </c>
    </row>
    <row r="11" spans="1:10" ht="20.25" customHeight="1" x14ac:dyDescent="0.2">
      <c r="B11" s="1" t="s">
        <v>10</v>
      </c>
      <c r="C11" s="3" t="s">
        <v>11</v>
      </c>
      <c r="D11" s="3"/>
      <c r="H11" s="7"/>
    </row>
    <row r="12" spans="1:10" ht="20.25" customHeight="1" x14ac:dyDescent="0.2">
      <c r="B12" s="1" t="s">
        <v>13</v>
      </c>
      <c r="C12" s="3" t="s">
        <v>14</v>
      </c>
      <c r="D12" s="3"/>
      <c r="H12" s="7"/>
    </row>
    <row r="13" spans="1:10" ht="20.25" customHeight="1" x14ac:dyDescent="0.2">
      <c r="B13" s="1"/>
      <c r="C13" s="3"/>
      <c r="D13" s="3"/>
      <c r="H13" s="7"/>
    </row>
    <row r="14" spans="1:10" ht="20.25" customHeight="1" x14ac:dyDescent="0.2">
      <c r="H14" s="7"/>
    </row>
    <row r="15" spans="1:10" ht="20.25" customHeight="1" x14ac:dyDescent="0.15">
      <c r="B15" s="23" t="s">
        <v>19</v>
      </c>
      <c r="C15" s="25">
        <f>I28</f>
        <v>1998000</v>
      </c>
      <c r="D15" s="26"/>
      <c r="E15" s="28" t="s">
        <v>20</v>
      </c>
    </row>
    <row r="16" spans="1:10" ht="15.75" customHeight="1" x14ac:dyDescent="0.15">
      <c r="B16" s="24"/>
      <c r="C16" s="27"/>
      <c r="D16" s="22"/>
      <c r="E16" s="29"/>
    </row>
    <row r="17" spans="1:9" ht="20.25" customHeight="1" x14ac:dyDescent="0.15"/>
    <row r="18" spans="1:9" ht="20.25" customHeight="1" x14ac:dyDescent="0.15">
      <c r="A18" s="9"/>
      <c r="B18" s="30" t="s">
        <v>21</v>
      </c>
      <c r="C18" s="31"/>
      <c r="D18" s="31"/>
      <c r="E18" s="32"/>
      <c r="F18" s="33" t="s">
        <v>22</v>
      </c>
      <c r="G18" s="32"/>
      <c r="H18" s="10" t="s">
        <v>23</v>
      </c>
      <c r="I18" s="10" t="s">
        <v>24</v>
      </c>
    </row>
    <row r="19" spans="1:9" ht="20.25" customHeight="1" x14ac:dyDescent="0.2">
      <c r="B19" s="34" t="s">
        <v>25</v>
      </c>
      <c r="C19" s="31"/>
      <c r="D19" s="31"/>
      <c r="E19" s="32"/>
      <c r="F19" s="11">
        <v>1</v>
      </c>
      <c r="G19" s="12" t="s">
        <v>26</v>
      </c>
      <c r="H19" s="13">
        <v>2498000</v>
      </c>
      <c r="I19" s="13">
        <f t="shared" ref="I19:I20" si="0">F19*H19</f>
        <v>2498000</v>
      </c>
    </row>
    <row r="20" spans="1:9" ht="20.25" customHeight="1" x14ac:dyDescent="0.2">
      <c r="B20" s="34" t="s">
        <v>27</v>
      </c>
      <c r="C20" s="31"/>
      <c r="D20" s="31"/>
      <c r="E20" s="32"/>
      <c r="F20" s="11">
        <v>1</v>
      </c>
      <c r="G20" s="12" t="s">
        <v>28</v>
      </c>
      <c r="H20" s="13">
        <v>-500000</v>
      </c>
      <c r="I20" s="13">
        <f t="shared" si="0"/>
        <v>-500000</v>
      </c>
    </row>
    <row r="21" spans="1:9" ht="20.25" customHeight="1" x14ac:dyDescent="0.2">
      <c r="B21" s="34"/>
      <c r="C21" s="31"/>
      <c r="D21" s="31"/>
      <c r="E21" s="32"/>
      <c r="F21" s="11"/>
      <c r="G21" s="12"/>
      <c r="H21" s="13"/>
      <c r="I21" s="14"/>
    </row>
    <row r="22" spans="1:9" ht="20.25" customHeight="1" x14ac:dyDescent="0.2">
      <c r="B22" s="34"/>
      <c r="C22" s="31"/>
      <c r="D22" s="31"/>
      <c r="E22" s="32"/>
      <c r="F22" s="11"/>
      <c r="G22" s="12"/>
      <c r="H22" s="13"/>
      <c r="I22" s="14"/>
    </row>
    <row r="23" spans="1:9" ht="20.25" customHeight="1" x14ac:dyDescent="0.2">
      <c r="B23" s="34"/>
      <c r="C23" s="31"/>
      <c r="D23" s="31"/>
      <c r="E23" s="32"/>
      <c r="F23" s="11"/>
      <c r="G23" s="12"/>
      <c r="H23" s="13"/>
      <c r="I23" s="14"/>
    </row>
    <row r="24" spans="1:9" ht="20.25" customHeight="1" x14ac:dyDescent="0.2">
      <c r="B24" s="34"/>
      <c r="C24" s="31"/>
      <c r="D24" s="31"/>
      <c r="E24" s="32"/>
      <c r="F24" s="11"/>
      <c r="G24" s="12"/>
      <c r="H24" s="13"/>
      <c r="I24" s="14"/>
    </row>
    <row r="25" spans="1:9" ht="20.25" customHeight="1" x14ac:dyDescent="0.2">
      <c r="B25" s="34"/>
      <c r="C25" s="31"/>
      <c r="D25" s="31"/>
      <c r="E25" s="32"/>
      <c r="F25" s="11"/>
      <c r="G25" s="12"/>
      <c r="H25" s="13"/>
      <c r="I25" s="14"/>
    </row>
    <row r="26" spans="1:9" ht="20.25" customHeight="1" x14ac:dyDescent="0.2">
      <c r="B26" s="34"/>
      <c r="C26" s="31"/>
      <c r="D26" s="31"/>
      <c r="E26" s="32"/>
      <c r="F26" s="11"/>
      <c r="G26" s="12"/>
      <c r="H26" s="13"/>
      <c r="I26" s="14"/>
    </row>
    <row r="27" spans="1:9" ht="20.25" customHeight="1" x14ac:dyDescent="0.2">
      <c r="B27" s="34"/>
      <c r="C27" s="31"/>
      <c r="D27" s="31"/>
      <c r="E27" s="32"/>
      <c r="F27" s="11"/>
      <c r="G27" s="12"/>
      <c r="H27" s="13"/>
      <c r="I27" s="14"/>
    </row>
    <row r="28" spans="1:9" ht="20.25" customHeight="1" x14ac:dyDescent="0.2">
      <c r="H28" s="15" t="s">
        <v>29</v>
      </c>
      <c r="I28" s="13">
        <f>SUM(I19:I27)</f>
        <v>1998000</v>
      </c>
    </row>
    <row r="29" spans="1:9" ht="20.25" customHeight="1" x14ac:dyDescent="0.2">
      <c r="H29" s="15" t="s">
        <v>30</v>
      </c>
      <c r="I29" s="13">
        <f>I28*0.1</f>
        <v>199800</v>
      </c>
    </row>
    <row r="30" spans="1:9" ht="20.25" customHeight="1" x14ac:dyDescent="0.2">
      <c r="H30" s="15" t="s">
        <v>31</v>
      </c>
      <c r="I30" s="13">
        <f>I28+I29</f>
        <v>2197800</v>
      </c>
    </row>
    <row r="31" spans="1:9" ht="20.25" customHeight="1" x14ac:dyDescent="0.15">
      <c r="B31" s="16"/>
      <c r="C31" s="16"/>
      <c r="D31" s="16"/>
      <c r="E31" s="16"/>
      <c r="F31" s="16"/>
      <c r="G31" s="16"/>
      <c r="H31" s="16"/>
      <c r="I31" s="16"/>
    </row>
    <row r="32" spans="1:9" ht="20.25" customHeight="1" x14ac:dyDescent="0.2">
      <c r="B32" s="35" t="s">
        <v>32</v>
      </c>
      <c r="C32" s="31"/>
      <c r="D32" s="31"/>
      <c r="E32" s="31"/>
      <c r="F32" s="31"/>
      <c r="G32" s="31"/>
      <c r="H32" s="31"/>
      <c r="I32" s="32"/>
    </row>
    <row r="33" spans="2:9" ht="20.25" customHeight="1" x14ac:dyDescent="0.15">
      <c r="B33" s="36" t="s">
        <v>33</v>
      </c>
      <c r="C33" s="26"/>
      <c r="D33" s="26"/>
      <c r="E33" s="26"/>
      <c r="F33" s="26"/>
      <c r="G33" s="26"/>
      <c r="H33" s="26"/>
      <c r="I33" s="37"/>
    </row>
    <row r="34" spans="2:9" ht="20.25" customHeight="1" x14ac:dyDescent="0.15">
      <c r="B34" s="38"/>
      <c r="C34" s="20"/>
      <c r="D34" s="20"/>
      <c r="E34" s="20"/>
      <c r="F34" s="20"/>
      <c r="G34" s="20"/>
      <c r="H34" s="20"/>
      <c r="I34" s="39"/>
    </row>
    <row r="35" spans="2:9" ht="20.25" customHeight="1" x14ac:dyDescent="0.15">
      <c r="B35" s="38"/>
      <c r="C35" s="20"/>
      <c r="D35" s="20"/>
      <c r="E35" s="20"/>
      <c r="F35" s="20"/>
      <c r="G35" s="20"/>
      <c r="H35" s="20"/>
      <c r="I35" s="39"/>
    </row>
    <row r="36" spans="2:9" ht="20.25" customHeight="1" x14ac:dyDescent="0.15">
      <c r="B36" s="38"/>
      <c r="C36" s="20"/>
      <c r="D36" s="20"/>
      <c r="E36" s="20"/>
      <c r="F36" s="20"/>
      <c r="G36" s="20"/>
      <c r="H36" s="20"/>
      <c r="I36" s="39"/>
    </row>
    <row r="37" spans="2:9" ht="20.25" customHeight="1" x14ac:dyDescent="0.15">
      <c r="B37" s="38"/>
      <c r="C37" s="20"/>
      <c r="D37" s="20"/>
      <c r="E37" s="20"/>
      <c r="F37" s="20"/>
      <c r="G37" s="20"/>
      <c r="H37" s="20"/>
      <c r="I37" s="39"/>
    </row>
    <row r="38" spans="2:9" ht="20.25" customHeight="1" x14ac:dyDescent="0.15">
      <c r="B38" s="38"/>
      <c r="C38" s="20"/>
      <c r="D38" s="20"/>
      <c r="E38" s="20"/>
      <c r="F38" s="20"/>
      <c r="G38" s="20"/>
      <c r="H38" s="20"/>
      <c r="I38" s="39"/>
    </row>
    <row r="39" spans="2:9" ht="20.25" customHeight="1" x14ac:dyDescent="0.15">
      <c r="B39" s="38"/>
      <c r="C39" s="20"/>
      <c r="D39" s="20"/>
      <c r="E39" s="20"/>
      <c r="F39" s="20"/>
      <c r="G39" s="20"/>
      <c r="H39" s="20"/>
      <c r="I39" s="39"/>
    </row>
    <row r="40" spans="2:9" ht="20.25" customHeight="1" x14ac:dyDescent="0.15">
      <c r="B40" s="38"/>
      <c r="C40" s="20"/>
      <c r="D40" s="20"/>
      <c r="E40" s="20"/>
      <c r="F40" s="20"/>
      <c r="G40" s="20"/>
      <c r="H40" s="20"/>
      <c r="I40" s="39"/>
    </row>
    <row r="41" spans="2:9" ht="20.25" customHeight="1" x14ac:dyDescent="0.15">
      <c r="B41" s="38"/>
      <c r="C41" s="20"/>
      <c r="D41" s="20"/>
      <c r="E41" s="20"/>
      <c r="F41" s="20"/>
      <c r="G41" s="20"/>
      <c r="H41" s="20"/>
      <c r="I41" s="39"/>
    </row>
    <row r="42" spans="2:9" ht="20.25" customHeight="1" x14ac:dyDescent="0.15">
      <c r="B42" s="38"/>
      <c r="C42" s="20"/>
      <c r="D42" s="20"/>
      <c r="E42" s="20"/>
      <c r="F42" s="20"/>
      <c r="G42" s="20"/>
      <c r="H42" s="20"/>
      <c r="I42" s="39"/>
    </row>
    <row r="43" spans="2:9" ht="13" x14ac:dyDescent="0.15">
      <c r="B43" s="38"/>
      <c r="C43" s="20"/>
      <c r="D43" s="20"/>
      <c r="E43" s="20"/>
      <c r="F43" s="20"/>
      <c r="G43" s="20"/>
      <c r="H43" s="20"/>
      <c r="I43" s="39"/>
    </row>
    <row r="44" spans="2:9" ht="13" x14ac:dyDescent="0.15">
      <c r="B44" s="38"/>
      <c r="C44" s="20"/>
      <c r="D44" s="20"/>
      <c r="E44" s="20"/>
      <c r="F44" s="20"/>
      <c r="G44" s="20"/>
      <c r="H44" s="20"/>
      <c r="I44" s="39"/>
    </row>
    <row r="45" spans="2:9" ht="13" x14ac:dyDescent="0.15">
      <c r="B45" s="27"/>
      <c r="C45" s="22"/>
      <c r="D45" s="22"/>
      <c r="E45" s="22"/>
      <c r="F45" s="22"/>
      <c r="G45" s="22"/>
      <c r="H45" s="22"/>
      <c r="I45" s="29"/>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B33:I45"/>
    <mergeCell ref="B19:E19"/>
    <mergeCell ref="B20:E20"/>
    <mergeCell ref="B21:E21"/>
    <mergeCell ref="B22:E22"/>
    <mergeCell ref="B23:E23"/>
    <mergeCell ref="B24:E24"/>
    <mergeCell ref="B25:E25"/>
    <mergeCell ref="B18:E18"/>
    <mergeCell ref="F18:G18"/>
    <mergeCell ref="B26:E26"/>
    <mergeCell ref="B27:E27"/>
    <mergeCell ref="B32:I32"/>
    <mergeCell ref="A4:J4"/>
    <mergeCell ref="B6:D6"/>
    <mergeCell ref="B15:B16"/>
    <mergeCell ref="C15:D16"/>
    <mergeCell ref="E15:E16"/>
  </mergeCells>
  <phoneticPr fontId="11"/>
  <printOptions horizontalCentered="1" gridLines="1"/>
  <pageMargins left="0.25" right="0.25" top="0.75" bottom="0.75" header="0" footer="0"/>
  <pageSetup paperSize="9" fitToWidth="0" pageOrder="overThenDown" orientation="portrait" cellComments="atEnd"/>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見積書</vt:lpstr>
      <vt:lpstr>発注書</vt:lpstr>
      <vt:lpstr>発注書 のコピー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小林 賢正</cp:lastModifiedBy>
  <dcterms:modified xsi:type="dcterms:W3CDTF">2026-03-19T12:55:32Z</dcterms:modified>
</cp:coreProperties>
</file>